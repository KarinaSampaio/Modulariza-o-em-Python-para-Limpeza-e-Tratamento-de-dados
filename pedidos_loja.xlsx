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06aa59da5d43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c3301c4f0cb04b3d"/>
    <x:sheet xmlns:r="http://schemas.openxmlformats.org/officeDocument/2006/relationships" name="Resumo" sheetId="2" r:id="R77b516a3f45446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R$ 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A34A"/>
      </x:patternFill>
    </x:fill>
    <x:fill>
      <x:patternFill patternType="solid">
        <x:fgColor rgb="FF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c588dedf043f3" /><Relationship Type="http://schemas.openxmlformats.org/officeDocument/2006/relationships/theme" Target="/xl/theme/theme1.xml" Id="Rc7e472ba79d34b65" /><Relationship Type="http://schemas.openxmlformats.org/officeDocument/2006/relationships/sharedStrings" Target="/xl/sharedStrings.xml" Id="Rd9acc5a808e4422a" /><Relationship Type="http://schemas.openxmlformats.org/officeDocument/2006/relationships/worksheet" Target="/xl/worksheets/sheet1.xml" Id="Rc3301c4f0cb04b3d" /><Relationship Type="http://schemas.openxmlformats.org/officeDocument/2006/relationships/worksheet" Target="/xl/worksheets/sheet2.xml" Id="R77b516a3f45446fc" /></Relationships>
</file>

<file path=xl/tables/table1.xml><?xml version="1.0" encoding="utf-8"?>
<x:table xmlns:x="http://schemas.openxmlformats.org/spreadsheetml/2006/main" id="1" name="PedidosTable" displayName="PedidosTable" ref="A1:G11" headerRowCount="1" totalsRowCount="0" totalsRowShown="0">
  <x:tableColumns count="7">
    <x:tableColumn id="1" name="pedido_id"/>
    <x:tableColumn id="2" name="cliente"/>
    <x:tableColumn id="3" name="data_pedido"/>
    <x:tableColumn id="4" name="data_entrega"/>
    <x:tableColumn id="5" name="valor"/>
    <x:tableColumn id="6" name="canal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3d9c7998ea439b" /></Relationships>
</file>

<file path=xl/worksheets/sheet1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0.25" hidden="0" customWidth="1"/>
    <x:col min="3" max="3" width="10.130000114440918" hidden="0" customWidth="1"/>
    <x:col min="4" max="4" width="10.630000114440918" hidden="0" customWidth="1"/>
    <x:col min="5" max="5" width="4.75" hidden="0" customWidth="1"/>
    <x:col min="6" max="6" width="9.75" hidden="0" customWidth="1"/>
    <x:col min="7" max="7" width="8.130000114440918" hidden="0" customWidth="1"/>
  </x:cols>
  <x:sheetData>
    <x:row r="1">
      <x:c r="A1" s="4" t="str">
        <x:v>pedido_id</x:v>
      </x:c>
      <x:c r="B1" s="4" t="str">
        <x:v>cliente</x:v>
      </x:c>
      <x:c r="C1" s="4" t="str">
        <x:v>data_pedido</x:v>
      </x:c>
      <x:c r="D1" s="4" t="str">
        <x:v>data_entrega</x:v>
      </x:c>
      <x:c r="E1" s="4" t="str">
        <x:v>valor</x:v>
      </x:c>
      <x:c r="F1" s="4" t="str">
        <x:v>canal</x:v>
      </x:c>
      <x:c r="G1" s="4" t="str">
        <x:v>status</x:v>
      </x:c>
    </x:row>
    <x:row r="2">
      <x:c r="A2" t="n">
        <x:v>1001</x:v>
      </x:c>
      <x:c r="B2" t="str">
        <x:v>Ana Souza</x:v>
      </x:c>
      <x:c r="C2" s="8" t="n">
        <x:v>46266</x:v>
      </x:c>
      <x:c r="D2" s="8" t="n">
        <x:v>46270</x:v>
      </x:c>
      <x:c r="E2" s="10" t="n">
        <x:v>149.9</x:v>
      </x:c>
      <x:c r="F2" t="str">
        <x:v>site</x:v>
      </x:c>
      <x:c r="G2" t="str">
        <x:v>entregue</x:v>
      </x:c>
    </x:row>
    <x:row r="3">
      <x:c r="A3" t="n">
        <x:v>1002</x:v>
      </x:c>
      <x:c r="B3" t="str">
        <x:v>Bruno Lima</x:v>
      </x:c>
      <x:c r="C3" s="8" t="n">
        <x:v>46267</x:v>
      </x:c>
      <x:c r="D3" s="8" t="n">
        <x:v>46272</x:v>
      </x:c>
      <x:c r="E3" s="10" t="n">
        <x:v>89.5</x:v>
      </x:c>
      <x:c r="F3" t="str">
        <x:v>app</x:v>
      </x:c>
      <x:c r="G3" t="str">
        <x:v>entregue</x:v>
      </x:c>
    </x:row>
    <x:row r="4">
      <x:c r="A4" t="n">
        <x:v>1003</x:v>
      </x:c>
      <x:c r="B4" t="str">
        <x:v>Carla Dias</x:v>
      </x:c>
      <x:c r="C4" s="8" t="n">
        <x:v>46268</x:v>
      </x:c>
      <x:c r="D4" s="8" t="n">
        <x:v>46275</x:v>
      </x:c>
      <x:c r="E4" s="10" t="n">
        <x:v>230</x:v>
      </x:c>
      <x:c r="F4" t="str">
        <x:v>site</x:v>
      </x:c>
      <x:c r="G4" t="str">
        <x:v>entregue</x:v>
      </x:c>
    </x:row>
    <x:row r="5">
      <x:c r="A5" t="n">
        <x:v>1004</x:v>
      </x:c>
      <x:c r="B5" t="str">
        <x:v>Diego Rocha</x:v>
      </x:c>
      <x:c r="C5" s="8" t="n">
        <x:v>46268</x:v>
      </x:c>
      <x:c r="D5" s="8"/>
      <x:c r="E5" s="10" t="n">
        <x:v>55.75</x:v>
      </x:c>
      <x:c r="F5" t="str">
        <x:v>marketplace</x:v>
      </x:c>
      <x:c r="G5" t="str">
        <x:v>cancelado</x:v>
      </x:c>
    </x:row>
    <x:row r="6">
      <x:c r="A6" t="n">
        <x:v>1005</x:v>
      </x:c>
      <x:c r="B6" t="str">
        <x:v>Eva Martins</x:v>
      </x:c>
      <x:c r="C6" s="8" t="n">
        <x:v>46269</x:v>
      </x:c>
      <x:c r="D6" s="8" t="n">
        <x:v>46271</x:v>
      </x:c>
      <x:c r="E6" s="10" t="n">
        <x:v>315.2</x:v>
      </x:c>
      <x:c r="F6" t="str">
        <x:v>app</x:v>
      </x:c>
      <x:c r="G6" t="str">
        <x:v>entregue</x:v>
      </x:c>
    </x:row>
    <x:row r="7">
      <x:c r="A7" t="n">
        <x:v>1006</x:v>
      </x:c>
      <x:c r="B7" t="str">
        <x:v>Felipe Nunes</x:v>
      </x:c>
      <x:c r="C7" s="8" t="n">
        <x:v>46270</x:v>
      </x:c>
      <x:c r="D7" s="8" t="n">
        <x:v>46277</x:v>
      </x:c>
      <x:c r="E7" s="10" t="n">
        <x:v>120</x:v>
      </x:c>
      <x:c r="F7" t="str">
        <x:v>site</x:v>
      </x:c>
      <x:c r="G7" t="str">
        <x:v>pendente</x:v>
      </x:c>
    </x:row>
    <x:row r="8">
      <x:c r="A8" t="n">
        <x:v>1007</x:v>
      </x:c>
      <x:c r="B8" t="str">
        <x:v>Giovana Reis</x:v>
      </x:c>
      <x:c r="C8" s="8" t="n">
        <x:v>46272</x:v>
      </x:c>
      <x:c r="D8" s="8" t="n">
        <x:v>46276</x:v>
      </x:c>
      <x:c r="E8" s="10" t="n">
        <x:v>77.4</x:v>
      </x:c>
      <x:c r="F8" t="str">
        <x:v>app</x:v>
      </x:c>
      <x:c r="G8" t="str">
        <x:v>entregue</x:v>
      </x:c>
    </x:row>
    <x:row r="9">
      <x:c r="A9" t="n">
        <x:v>1008</x:v>
      </x:c>
      <x:c r="B9" t="str">
        <x:v>Hugo Alves</x:v>
      </x:c>
      <x:c r="C9" s="8" t="n">
        <x:v>46273</x:v>
      </x:c>
      <x:c r="D9" s="8"/>
      <x:c r="E9" s="10" t="n">
        <x:v>410</x:v>
      </x:c>
      <x:c r="F9" t="str">
        <x:v>site</x:v>
      </x:c>
      <x:c r="G9" t="str">
        <x:v>pendente</x:v>
      </x:c>
    </x:row>
    <x:row r="10">
      <x:c r="A10" t="n">
        <x:v>1009</x:v>
      </x:c>
      <x:c r="B10" t="str">
        <x:v>Isabela Costa</x:v>
      </x:c>
      <x:c r="C10" s="8" t="n">
        <x:v>46274</x:v>
      </x:c>
      <x:c r="D10" s="8" t="n">
        <x:v>46278</x:v>
      </x:c>
      <x:c r="E10" s="10" t="n">
        <x:v>58.9</x:v>
      </x:c>
      <x:c r="F10" t="str">
        <x:v>marketplace</x:v>
      </x:c>
      <x:c r="G10" t="str">
        <x:v>entregue</x:v>
      </x:c>
    </x:row>
    <x:row r="11">
      <x:c r="A11" t="n">
        <x:v>1010</x:v>
      </x:c>
      <x:c r="B11" t="str">
        <x:v>João Pereira</x:v>
      </x:c>
      <x:c r="C11" s="8" t="n">
        <x:v>46275</x:v>
      </x:c>
      <x:c r="D11" s="8" t="n">
        <x:v>46281</x:v>
      </x:c>
      <x:c r="E11" s="10" t="n">
        <x:v>199.9</x:v>
      </x:c>
      <x:c r="F11" t="str">
        <x:v>site</x:v>
      </x:c>
      <x:c r="G11" t="str">
        <x:v>entregue</x:v>
      </x:c>
    </x:row>
  </x:sheetData>
  <x:pageMargins left="0.7" right="0.7" top="0.75" bottom="0.75" header="0.3" footer="0.3"/>
  <x:tableParts count="1">
    <x:tablePart xmlns:r="http://schemas.openxmlformats.org/officeDocument/2006/relationships" r:id="R2a3d9c7998ea43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25" hidden="0" customWidth="1"/>
    <x:col min="2" max="2" width="16.8799991607666" hidden="0" customWidth="1"/>
  </x:cols>
  <x:sheetData>
    <x:row r="1">
      <x:c r="A1" s="13" t="str">
        <x:v>Indicador</x:v>
      </x:c>
      <x:c r="B1" s="13" t="str">
        <x:v>Valor</x:v>
      </x:c>
    </x:row>
    <x:row r="2">
      <x:c r="A2" t="str">
        <x:v>Total de pedidos</x:v>
      </x:c>
      <x:c r="B2" t="n">
        <x:f>COUNTA(Pedidos!A2:A11)</x:f>
        <x:v>10</x:v>
      </x:c>
    </x:row>
    <x:row r="3">
      <x:c r="A3" t="str">
        <x:v>Valor total</x:v>
      </x:c>
      <x:c r="B3" s="10" t="n">
        <x:f>SUM(Pedidos!E2:E11)</x:f>
        <x:v>1706.5500000000002</x:v>
      </x:c>
    </x:row>
    <x:row r="4">
      <x:c r="A4" t="str">
        <x:v>Valor médio</x:v>
      </x:c>
      <x:c r="B4" s="10" t="n">
        <x:f>AVERAGE(Pedidos!E2:E11)</x:f>
        <x:v>170.65500000000003</x:v>
      </x:c>
    </x:row>
    <x:row r="5">
      <x:c r="A5" t="str">
        <x:v>Pedidos entregues</x:v>
      </x:c>
      <x:c r="B5" t="n">
        <x:f>COUNTIF(Pedidos!G2:G11,"entregue")</x:f>
        <x:v>7</x:v>
      </x:c>
    </x:row>
  </x:sheetData>
  <x:pageMargins left="0.7" right="0.7" top="0.75" bottom="0.75" header="0.3" footer="0.3"/>
</x:worksheet>
</file>